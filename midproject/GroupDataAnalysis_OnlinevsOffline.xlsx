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A55C076C-560A-410D-A344-99EE08607A6A}" xr6:coauthVersionLast="47" xr6:coauthVersionMax="47" xr10:uidLastSave="{00000000-0000-0000-0000-000000000000}"/>
  <bookViews>
    <workbookView xWindow="-120" yWindow="-120" windowWidth="20730" windowHeight="11040" xr2:uid="{CEFC8FEC-AD1E-4160-A0B5-AE8D14C4FAA1}"/>
  </bookViews>
  <sheets>
    <sheet name="Online vs Offline Classes " sheetId="1" r:id="rId1"/>
  </sheets>
  <definedNames>
    <definedName name="_xlchart.v1.0" hidden="1">'Online vs Offline Classes '!$A$34:$A$35</definedName>
    <definedName name="_xlchart.v1.1" hidden="1">'Online vs Offline Classes '!$C$34:$C$35</definedName>
    <definedName name="_xlchart.v1.10" hidden="1">'Online vs Offline Classes '!$B$38</definedName>
    <definedName name="_xlchart.v1.11" hidden="1">'Online vs Offline Classes '!$B$39:$B$44</definedName>
    <definedName name="_xlchart.v1.12" hidden="1">'Online vs Offline Classes '!$C$38</definedName>
    <definedName name="_xlchart.v1.13" hidden="1">'Online vs Offline Classes '!$C$39:$C$44</definedName>
    <definedName name="_xlchart.v1.2" hidden="1">'Online vs Offline Classes '!$A$39:$A$44</definedName>
    <definedName name="_xlchart.v1.3" hidden="1">'Online vs Offline Classes '!$B$38</definedName>
    <definedName name="_xlchart.v1.4" hidden="1">'Online vs Offline Classes '!$B$39:$B$44</definedName>
    <definedName name="_xlchart.v1.5" hidden="1">'Online vs Offline Classes '!$C$38</definedName>
    <definedName name="_xlchart.v1.6" hidden="1">'Online vs Offline Classes '!$C$39:$C$44</definedName>
    <definedName name="_xlchart.v1.7" hidden="1">'Online vs Offline Classes '!$A$36</definedName>
    <definedName name="_xlchart.v1.8" hidden="1">'Online vs Offline Classes '!$C$36</definedName>
    <definedName name="_xlchart.v1.9" hidden="1">'Online vs Offline Classes '!$A$39:$A$44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2" i="1" l="1"/>
  <c r="B52" i="1"/>
  <c r="C51" i="1"/>
  <c r="B51" i="1"/>
  <c r="C50" i="1"/>
  <c r="B50" i="1"/>
  <c r="C49" i="1"/>
  <c r="B49" i="1"/>
  <c r="C48" i="1"/>
  <c r="B48" i="1"/>
  <c r="C47" i="1"/>
  <c r="B47" i="1"/>
  <c r="B40" i="1"/>
  <c r="B41" i="1"/>
  <c r="C41" i="1"/>
  <c r="B42" i="1"/>
  <c r="B39" i="1"/>
  <c r="C39" i="1"/>
  <c r="C40" i="1"/>
  <c r="C42" i="1"/>
  <c r="B43" i="1"/>
  <c r="C43" i="1"/>
  <c r="B44" i="1"/>
  <c r="C44" i="1"/>
  <c r="C33" i="1"/>
  <c r="C34" i="1"/>
  <c r="C35" i="1"/>
  <c r="C36" i="1"/>
</calcChain>
</file>

<file path=xl/sharedStrings.xml><?xml version="1.0" encoding="utf-8"?>
<sst xmlns="http://schemas.openxmlformats.org/spreadsheetml/2006/main" count="436" uniqueCount="158">
  <si>
    <t>Timestamp</t>
  </si>
  <si>
    <t>Username</t>
  </si>
  <si>
    <t>Name</t>
  </si>
  <si>
    <t>Age Group</t>
  </si>
  <si>
    <t>Gender</t>
  </si>
  <si>
    <t xml:space="preserve">What are you currently studying?  </t>
  </si>
  <si>
    <t>Which type of classes do you prefer?</t>
  </si>
  <si>
    <t>Which type of classes helps you learn more effectively?</t>
  </si>
  <si>
    <t>Which type of classes contributes more to your personal growth?</t>
  </si>
  <si>
    <t>In which mode do you interact more with others?</t>
  </si>
  <si>
    <t>In which environment do you feel more motivated to study?</t>
  </si>
  <si>
    <t xml:space="preserve">Where do you find communication with teachers easier? </t>
  </si>
  <si>
    <t>Which mode makes learning easier for you?</t>
  </si>
  <si>
    <t>How effective do you find your mode of learning?</t>
  </si>
  <si>
    <t>Please give a reason for the mode of learning you have chosen.</t>
  </si>
  <si>
    <t>2025/11/06 9:58:47 PM GMT+5</t>
  </si>
  <si>
    <t>ayeshafayyaz557@gmail.com</t>
  </si>
  <si>
    <t xml:space="preserve">Ayesha Fayyaz </t>
  </si>
  <si>
    <t>19-25</t>
  </si>
  <si>
    <t>Female</t>
  </si>
  <si>
    <t>Bachelors</t>
  </si>
  <si>
    <t>Online classes</t>
  </si>
  <si>
    <t>Offline classes</t>
  </si>
  <si>
    <t>Offline</t>
  </si>
  <si>
    <t>Online</t>
  </si>
  <si>
    <t xml:space="preserve">Online learning provides flexibility and allow learners to study anytime </t>
  </si>
  <si>
    <t>2025/11/06 9:59:50 PM GMT+5</t>
  </si>
  <si>
    <t>batoolkashaf531@gmail.com</t>
  </si>
  <si>
    <t>Kashaf batool</t>
  </si>
  <si>
    <t>I chose this mode of learning because it helps me understand and remember information better. It allows me to learn at my own pace, stay engaged, and focus on the methods that suit my learning style best.</t>
  </si>
  <si>
    <t>2025/11/06 10:06:10 PM GMT+5</t>
  </si>
  <si>
    <t>mariamshakeel27@gmail.com</t>
  </si>
  <si>
    <t>Maryam</t>
  </si>
  <si>
    <t>I choose online because they provide flexibility and convenience.</t>
  </si>
  <si>
    <t>2025/11/06 11:10:52 PM GMT+5</t>
  </si>
  <si>
    <t>wasaybutt17@gmail.com</t>
  </si>
  <si>
    <t>Wasay</t>
  </si>
  <si>
    <t>26-35</t>
  </si>
  <si>
    <t>Male</t>
  </si>
  <si>
    <t>Masters</t>
  </si>
  <si>
    <t>Online give me flexibility</t>
  </si>
  <si>
    <t>2025/11/06 11:50:36 PM GMT+5</t>
  </si>
  <si>
    <t>ahmedzahid212121@gmail.com</t>
  </si>
  <si>
    <t>Muhammad Ahmed</t>
  </si>
  <si>
    <t xml:space="preserve">Because I can study whenever I want and I can improve </t>
  </si>
  <si>
    <t>2025/11/07 12:00:34 AM GMT+5</t>
  </si>
  <si>
    <t>www.qiraattahir1332@gmail.com</t>
  </si>
  <si>
    <t xml:space="preserve">Qiraat Tahir </t>
  </si>
  <si>
    <t>Offline learning is preferred because it offers real human connection, better focus, and instant teacher feedback. It builds confidence, discipline, and teamwork through face-to-face interaction. Unlike online classes, it provides structure, emotional growth, and a reliable environment for learning.</t>
  </si>
  <si>
    <t>2025/11/07 12:04:06 AM GMT+5</t>
  </si>
  <si>
    <t>ikraamjad600@gmail.com</t>
  </si>
  <si>
    <t>Maheen</t>
  </si>
  <si>
    <t xml:space="preserve">Because I prefer offline classes </t>
  </si>
  <si>
    <t>2025/11/07 12:26:12 AM GMT+5</t>
  </si>
  <si>
    <t>faizaazam776@gmail.com</t>
  </si>
  <si>
    <t>Faiza azam</t>
  </si>
  <si>
    <t>13-18</t>
  </si>
  <si>
    <t>2025/11/07 12:28:09 AM GMT+5</t>
  </si>
  <si>
    <t>mahmoodalibtd@gmail.com</t>
  </si>
  <si>
    <t>Mehmood Ali</t>
  </si>
  <si>
    <t>Matric</t>
  </si>
  <si>
    <t xml:space="preserve">I chose online learning because it offers flexibility and convenience, allowing me to manage my studies alongside my personal and professional responsibilities. It also provides access to a wide range of digital resources and interactive tools that enhance my learning experience.
</t>
  </si>
  <si>
    <t>2025/11/07 2:43:11 AM GMT+5</t>
  </si>
  <si>
    <t>tahirabatool907@gmail.com</t>
  </si>
  <si>
    <t xml:space="preserve">Tahira Batool </t>
  </si>
  <si>
    <t>Online learning is better because it is more flexible, saves time and gives access to world-class teachers from anywhere.</t>
  </si>
  <si>
    <t>2025/11/07 7:04:33 AM GMT+5</t>
  </si>
  <si>
    <t>hussainxbajwa@gmail.com</t>
  </si>
  <si>
    <t>Hussain Bajwa</t>
  </si>
  <si>
    <t>2025/11/07 7:59:25 AM GMT+5</t>
  </si>
  <si>
    <t>aribarajput273@gmail.com</t>
  </si>
  <si>
    <t xml:space="preserve">Areeba </t>
  </si>
  <si>
    <t xml:space="preserve">Because face to face Interaction is more affective then online and u stay more attentive because you know teacher is standing in front of you instead of beside a screen </t>
  </si>
  <si>
    <t>2025/11/07 8:07:17 AM GMT+5</t>
  </si>
  <si>
    <t>haleemasadia234987@gmail.com</t>
  </si>
  <si>
    <t xml:space="preserve">Haleema Sadia </t>
  </si>
  <si>
    <t xml:space="preserve">Offline is more easy bcz person learn more with different resources </t>
  </si>
  <si>
    <t>2025/11/07 8:45:18 AM GMT+5</t>
  </si>
  <si>
    <t>afzalhusnain282@gmail.com</t>
  </si>
  <si>
    <t>Maryam Afzal</t>
  </si>
  <si>
    <t>Secondary</t>
  </si>
  <si>
    <t>I like offline learning because it allows face-to-face interaction with teachers and helps me stay more focused and disciplined.</t>
  </si>
  <si>
    <t>2025/11/07 8:45:25 AM GMT+5</t>
  </si>
  <si>
    <t>farhatnaseer1977@gmail.com</t>
  </si>
  <si>
    <t>Mubarra Naseer</t>
  </si>
  <si>
    <t xml:space="preserve">Offline </t>
  </si>
  <si>
    <t>2025/11/07 9:13:35 AM GMT+5</t>
  </si>
  <si>
    <t>aimannaeem826@gmail.com</t>
  </si>
  <si>
    <t xml:space="preserve">Aiman naeem </t>
  </si>
  <si>
    <t>I choose offline learning because student learn and engage with their course effectively and in a better way .</t>
  </si>
  <si>
    <t>2025/11/07 9:16:28 AM GMT+5</t>
  </si>
  <si>
    <t>bareeraasghar045@gmail.com</t>
  </si>
  <si>
    <t xml:space="preserve">Bareera Asghar </t>
  </si>
  <si>
    <t xml:space="preserve">I prefer offline learning because I can understand better when the teacher explains face to face.
</t>
  </si>
  <si>
    <t>2025/11/07 9:31:02 AM GMT+5</t>
  </si>
  <si>
    <t>malaikatariq448@gmail.com</t>
  </si>
  <si>
    <t xml:space="preserve">Malaika Tariq </t>
  </si>
  <si>
    <t xml:space="preserve">Because it gives me confidence </t>
  </si>
  <si>
    <t>2025/11/07 9:44:28 AM GMT+5</t>
  </si>
  <si>
    <t>manalzahid456@gmail.com</t>
  </si>
  <si>
    <t>Minal</t>
  </si>
  <si>
    <t>In Physical classes you fully concentrate on the subject..</t>
  </si>
  <si>
    <t>2025/11/07 10:03:57 AM GMT+5</t>
  </si>
  <si>
    <t>saimaiqbal1414@gmail.com</t>
  </si>
  <si>
    <t xml:space="preserve">Saima Iqbal </t>
  </si>
  <si>
    <t>All</t>
  </si>
  <si>
    <t>2025/11/07 10:07:57 AM GMT+5</t>
  </si>
  <si>
    <t>shawanashabbir777@gmail.com</t>
  </si>
  <si>
    <t xml:space="preserve">Shawana Shabbir </t>
  </si>
  <si>
    <t>It helps to interact with teachers easily and easy to ask questions and also allows us to focus on class so I always prefer offline classes</t>
  </si>
  <si>
    <t>2025/11/07 10:08:52 AM GMT+5</t>
  </si>
  <si>
    <t>ayeshafajar725@gmail.com</t>
  </si>
  <si>
    <t>Fajar</t>
  </si>
  <si>
    <t xml:space="preserve">I don't want to learn because I like writing than learning </t>
  </si>
  <si>
    <t>2025/11/07 10:10:28 AM GMT+5</t>
  </si>
  <si>
    <t>abdullahbhaig1234@gmail.com</t>
  </si>
  <si>
    <t>Fiza</t>
  </si>
  <si>
    <t xml:space="preserve">Because student will understand better in offline class and can ask questions easily </t>
  </si>
  <si>
    <t>2025/11/07 10:16:55 AM GMT+5</t>
  </si>
  <si>
    <t>hamdaahmad6002@gmail.com</t>
  </si>
  <si>
    <t xml:space="preserve">Hamda Ahmad </t>
  </si>
  <si>
    <t xml:space="preserve">Tell us how to begin in society </t>
  </si>
  <si>
    <t>2025/11/07 10:16:57 AM GMT+5</t>
  </si>
  <si>
    <t>aqsa.sh2556@gmail.com</t>
  </si>
  <si>
    <t>Aqsa shahbaz</t>
  </si>
  <si>
    <t>I think offline classes are better as it's more productive</t>
  </si>
  <si>
    <t>2025/11/07 10:59:26 AM GMT+5</t>
  </si>
  <si>
    <t>emanfatimarazzaq234@gmail.com</t>
  </si>
  <si>
    <t xml:space="preserve">Eman Fatima </t>
  </si>
  <si>
    <t>It gives you more chance to interact with other people and it provides a better chance to grow</t>
  </si>
  <si>
    <t>2025/11/07 11:01:13 AM GMT+5</t>
  </si>
  <si>
    <t>naveedkashaf9@gmail.com</t>
  </si>
  <si>
    <t>Kashaf naveed</t>
  </si>
  <si>
    <t xml:space="preserve">Bcz we can interact and clear our confusion face to face 
</t>
  </si>
  <si>
    <t>2025/11/07 2:18:32 PM GMT+5</t>
  </si>
  <si>
    <t>hafzazafar10@gmail.com</t>
  </si>
  <si>
    <t>Hafza</t>
  </si>
  <si>
    <t>I am currently taking classes online. The biggest advantage is the flexibility of time. I can take classes whenever I want. But yes there are pros and cons of it.</t>
  </si>
  <si>
    <t>I understand better in offline classes.I can't focus in online classes.</t>
  </si>
  <si>
    <t>Description</t>
  </si>
  <si>
    <t>Result</t>
  </si>
  <si>
    <t>Total Responses</t>
  </si>
  <si>
    <t>Online Preferences</t>
  </si>
  <si>
    <t>Offline Preferences</t>
  </si>
  <si>
    <t>Average Effectiveness</t>
  </si>
  <si>
    <t>Count of all responses</t>
  </si>
  <si>
    <t>Count of students who prefer online classes</t>
  </si>
  <si>
    <t>Count of students who prefer offline classes</t>
  </si>
  <si>
    <t>Average score of "satisfaction of students with their chosen mode of learning"</t>
  </si>
  <si>
    <t>Degree-wise Preference</t>
  </si>
  <si>
    <t>Intermediate</t>
  </si>
  <si>
    <t>Bacheors</t>
  </si>
  <si>
    <t>PHD</t>
  </si>
  <si>
    <t>Calculation name</t>
  </si>
  <si>
    <t>Age-wise Preference</t>
  </si>
  <si>
    <t>Under 13</t>
  </si>
  <si>
    <t>36-50</t>
  </si>
  <si>
    <t>Above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</si>
</sst>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1"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left>
      <right/>
      <top style="thin">
        <color theme="9"/>
      </top>
      <bottom/>
      <diagonal/>
    </border>
    <border>
      <left/>
      <right/>
      <top style="thin">
        <color theme="9"/>
      </top>
      <bottom/>
      <diagonal/>
    </border>
    <border>
      <left style="thin">
        <color theme="9"/>
      </left>
      <right style="thin">
        <color theme="9"/>
      </right>
      <top style="thin">
        <color theme="9"/>
      </top>
      <bottom/>
      <diagonal/>
    </border>
    <border>
      <left style="thin">
        <color theme="9"/>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wrapText="1"/>
    </xf>
    <xf numFmtId="0" fontId="18" fillId="0" borderId="0" xfId="0" applyFont="1" applyAlignment="1">
      <alignment horizontal="center"/>
    </xf>
    <xf numFmtId="0" fontId="0" fillId="0" borderId="10" xfId="0" applyFont="1" applyBorder="1"/>
    <xf numFmtId="0" fontId="0" fillId="0" borderId="11" xfId="0" applyFont="1" applyBorder="1"/>
    <xf numFmtId="0" fontId="0" fillId="0" borderId="12" xfId="0" applyFont="1" applyBorder="1" applyAlignment="1">
      <alignment horizontal="center"/>
    </xf>
    <xf numFmtId="0" fontId="0" fillId="0" borderId="10" xfId="0" applyFont="1" applyBorder="1" applyAlignment="1">
      <alignment vertical="center" wrapText="1"/>
    </xf>
    <xf numFmtId="0" fontId="0" fillId="0" borderId="12" xfId="0" applyFont="1" applyBorder="1"/>
    <xf numFmtId="0" fontId="16" fillId="0" borderId="0" xfId="0" applyFont="1" applyBorder="1"/>
    <xf numFmtId="0" fontId="16" fillId="0" borderId="13" xfId="0" applyFont="1" applyBorder="1"/>
    <xf numFmtId="0" fontId="0" fillId="33" borderId="10" xfId="0" applyFont="1" applyFill="1" applyBorder="1"/>
    <xf numFmtId="0" fontId="0" fillId="33" borderId="12" xfId="0" applyFont="1" applyFill="1" applyBorder="1"/>
    <xf numFmtId="0" fontId="0" fillId="33" borderId="11"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b val="0"/>
        <i val="0"/>
        <strike val="0"/>
        <condense val="0"/>
        <extend val="0"/>
        <outline val="0"/>
        <shadow val="0"/>
        <u val="none"/>
        <vertAlign val="baseline"/>
        <sz val="11"/>
        <color theme="1"/>
        <name val="Calibri"/>
        <family val="2"/>
        <scheme val="minor"/>
      </font>
      <border diagonalUp="0" diagonalDown="0">
        <left style="thin">
          <color theme="9"/>
        </left>
        <right style="thin">
          <color theme="9"/>
        </right>
        <top style="thin">
          <color theme="9"/>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9"/>
        </left>
        <right/>
        <top style="thin">
          <color theme="9"/>
        </top>
        <bottom/>
        <vertical/>
        <horizontal/>
      </border>
    </dxf>
    <dxf>
      <border outline="0">
        <bottom style="thin">
          <color theme="9"/>
        </bottom>
      </border>
    </dxf>
    <dxf>
      <font>
        <b/>
        <i val="0"/>
        <strike val="0"/>
        <condense val="0"/>
        <extend val="0"/>
        <outline val="0"/>
        <shadow val="0"/>
        <u val="none"/>
        <vertAlign val="baseline"/>
        <sz val="11"/>
        <color theme="1"/>
        <name val="Calibri"/>
        <family val="2"/>
        <scheme val="minor"/>
      </font>
      <border diagonalUp="0" diagonalDown="0" outline="0">
        <left style="thin">
          <color theme="9"/>
        </left>
        <right style="thin">
          <color theme="9"/>
        </right>
        <top/>
        <bottom/>
      </border>
    </dxf>
    <dxf>
      <font>
        <b val="0"/>
        <i val="0"/>
        <strike val="0"/>
        <condense val="0"/>
        <extend val="0"/>
        <outline val="0"/>
        <shadow val="0"/>
        <u val="none"/>
        <vertAlign val="baseline"/>
        <sz val="11"/>
        <color theme="1"/>
        <name val="Calibri"/>
        <family val="2"/>
        <scheme val="minor"/>
      </font>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op>
        <bottom/>
        <vertical/>
        <horizontal/>
      </border>
    </dxf>
    <dxf>
      <border outline="0">
        <left style="thin">
          <color theme="9"/>
        </left>
        <right style="thin">
          <color theme="9"/>
        </right>
        <top style="thin">
          <color theme="9"/>
        </top>
        <bottom style="thin">
          <color theme="9"/>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theme="9"/>
        </left>
        <right style="thin">
          <color theme="9"/>
        </right>
        <top style="thin">
          <color theme="9"/>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9"/>
        </left>
        <right/>
        <top style="thin">
          <color theme="9"/>
        </top>
        <bottom/>
        <vertical/>
        <horizontal/>
      </border>
    </dxf>
    <dxf>
      <border outline="0">
        <bottom style="thin">
          <color theme="9"/>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Class Preference Distribution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a:solidFill>
                <a:schemeClr val="tx1"/>
              </a:solidFill>
            </a:ln>
          </c:spPr>
          <c:dPt>
            <c:idx val="0"/>
            <c:bubble3D val="0"/>
            <c:spPr>
              <a:solidFill>
                <a:schemeClr val="accent1"/>
              </a:solidFill>
              <a:ln w="19050">
                <a:solidFill>
                  <a:schemeClr val="tx1"/>
                </a:solidFill>
              </a:ln>
              <a:effectLst/>
            </c:spPr>
            <c:extLst>
              <c:ext xmlns:c16="http://schemas.microsoft.com/office/drawing/2014/chart" uri="{C3380CC4-5D6E-409C-BE32-E72D297353CC}">
                <c16:uniqueId val="{00000002-E1B2-4715-A09B-10015E5E7AE5}"/>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1-E1B2-4715-A09B-10015E5E7AE5}"/>
              </c:ext>
            </c:extLst>
          </c:dPt>
          <c:dLbls>
            <c:dLbl>
              <c:idx val="0"/>
              <c:layout>
                <c:manualLayout>
                  <c:x val="-7.8197944006999129E-2"/>
                  <c:y val="0.11274424030329534"/>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1B2-4715-A09B-10015E5E7AE5}"/>
                </c:ext>
              </c:extLst>
            </c:dLbl>
            <c:dLbl>
              <c:idx val="1"/>
              <c:layout>
                <c:manualLayout>
                  <c:x val="8.7435914260717465E-2"/>
                  <c:y val="-0.12663312919218431"/>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B2-4715-A09B-10015E5E7A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'Online vs Offline Classes '!$A$34:$A$35</c:f>
              <c:strCache>
                <c:ptCount val="2"/>
                <c:pt idx="0">
                  <c:v>Online Preferences</c:v>
                </c:pt>
                <c:pt idx="1">
                  <c:v>Offline Preferences</c:v>
                </c:pt>
              </c:strCache>
            </c:strRef>
          </c:cat>
          <c:val>
            <c:numRef>
              <c:f>'Online vs Offline Classes '!$C$34:$C$35</c:f>
              <c:numCache>
                <c:formatCode>General</c:formatCode>
                <c:ptCount val="2"/>
                <c:pt idx="0">
                  <c:v>6</c:v>
                </c:pt>
                <c:pt idx="1">
                  <c:v>22</c:v>
                </c:pt>
              </c:numCache>
            </c:numRef>
          </c:val>
          <c:extLst>
            <c:ext xmlns:c16="http://schemas.microsoft.com/office/drawing/2014/chart" uri="{C3380CC4-5D6E-409C-BE32-E72D297353CC}">
              <c16:uniqueId val="{00000000-E1B2-4715-A09B-10015E5E7AE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Satisfaction by Mode of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'Online vs Offline Classes '!$A$36</c:f>
              <c:strCache>
                <c:ptCount val="1"/>
                <c:pt idx="0">
                  <c:v>Average Effectiveness</c:v>
                </c:pt>
              </c:strCache>
            </c:strRef>
          </c:cat>
          <c:val>
            <c:numRef>
              <c:f>'Online vs Offline Classes '!$C$36</c:f>
              <c:numCache>
                <c:formatCode>General</c:formatCode>
                <c:ptCount val="1"/>
                <c:pt idx="0">
                  <c:v>7.6428571428571432</c:v>
                </c:pt>
              </c:numCache>
            </c:numRef>
          </c:val>
          <c:extLst>
            <c:ext xmlns:c16="http://schemas.microsoft.com/office/drawing/2014/chart" uri="{C3380CC4-5D6E-409C-BE32-E72D297353CC}">
              <c16:uniqueId val="{00000000-D117-445A-9694-62A4406B8332}"/>
            </c:ext>
          </c:extLst>
        </c:ser>
        <c:dLbls>
          <c:dLblPos val="outEnd"/>
          <c:showLegendKey val="0"/>
          <c:showVal val="1"/>
          <c:showCatName val="0"/>
          <c:showSerName val="0"/>
          <c:showPercent val="0"/>
          <c:showBubbleSize val="0"/>
        </c:dLbls>
        <c:gapWidth val="219"/>
        <c:overlap val="-27"/>
        <c:axId val="565435088"/>
        <c:axId val="615446448"/>
      </c:barChart>
      <c:catAx>
        <c:axId val="56543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46448"/>
        <c:crosses val="autoZero"/>
        <c:auto val="1"/>
        <c:lblAlgn val="ctr"/>
        <c:lblOffset val="100"/>
        <c:noMultiLvlLbl val="0"/>
      </c:catAx>
      <c:valAx>
        <c:axId val="615446448"/>
        <c:scaling>
          <c:orientation val="minMax"/>
          <c:max val="10"/>
          <c:min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43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Degree-wise</a:t>
            </a:r>
            <a:r>
              <a:rPr lang="en-US" b="1" baseline="0">
                <a:solidFill>
                  <a:schemeClr val="tx1"/>
                </a:solidFill>
              </a:rPr>
              <a:t> Preference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'Online vs Offline Classes '!$B$38</c:f>
              <c:strCache>
                <c:ptCount val="1"/>
                <c:pt idx="0">
                  <c:v>Online</c:v>
                </c:pt>
              </c:strCache>
            </c:strRef>
          </c:tx>
          <c:spPr>
            <a:solidFill>
              <a:schemeClr val="accent1"/>
            </a:solidFill>
            <a:ln>
              <a:noFill/>
            </a:ln>
            <a:effectLst/>
          </c:spPr>
          <c:invertIfNegative val="0"/>
          <c:cat>
            <c:strRef>
              <c:f>'Online vs Offline Classes '!$A$39:$A$44</c:f>
              <c:strCache>
                <c:ptCount val="6"/>
                <c:pt idx="0">
                  <c:v>Secondary</c:v>
                </c:pt>
                <c:pt idx="1">
                  <c:v>Matric</c:v>
                </c:pt>
                <c:pt idx="2">
                  <c:v>Intermediate</c:v>
                </c:pt>
                <c:pt idx="3">
                  <c:v>Bacheors</c:v>
                </c:pt>
                <c:pt idx="4">
                  <c:v>Masters</c:v>
                </c:pt>
                <c:pt idx="5">
                  <c:v>PHD</c:v>
                </c:pt>
              </c:strCache>
            </c:strRef>
          </c:cat>
          <c:val>
            <c:numRef>
              <c:f>'Online vs Offline Classes '!$B$39:$B$44</c:f>
              <c:numCache>
                <c:formatCode>General</c:formatCode>
                <c:ptCount val="6"/>
                <c:pt idx="0">
                  <c:v>0</c:v>
                </c:pt>
                <c:pt idx="1">
                  <c:v>0</c:v>
                </c:pt>
                <c:pt idx="2">
                  <c:v>0</c:v>
                </c:pt>
                <c:pt idx="3">
                  <c:v>4</c:v>
                </c:pt>
                <c:pt idx="4">
                  <c:v>3</c:v>
                </c:pt>
                <c:pt idx="5">
                  <c:v>0</c:v>
                </c:pt>
              </c:numCache>
            </c:numRef>
          </c:val>
          <c:extLst>
            <c:ext xmlns:c16="http://schemas.microsoft.com/office/drawing/2014/chart" uri="{C3380CC4-5D6E-409C-BE32-E72D297353CC}">
              <c16:uniqueId val="{00000000-D7ED-455C-A7E0-1664E3932B62}"/>
            </c:ext>
          </c:extLst>
        </c:ser>
        <c:ser>
          <c:idx val="1"/>
          <c:order val="1"/>
          <c:tx>
            <c:strRef>
              <c:f>'Online vs Offline Classes '!$C$38</c:f>
              <c:strCache>
                <c:ptCount val="1"/>
                <c:pt idx="0">
                  <c:v>Offline</c:v>
                </c:pt>
              </c:strCache>
            </c:strRef>
          </c:tx>
          <c:spPr>
            <a:solidFill>
              <a:schemeClr val="accent2"/>
            </a:solidFill>
            <a:ln>
              <a:noFill/>
            </a:ln>
            <a:effectLst/>
          </c:spPr>
          <c:invertIfNegative val="0"/>
          <c:cat>
            <c:strRef>
              <c:f>'Online vs Offline Classes '!$A$39:$A$44</c:f>
              <c:strCache>
                <c:ptCount val="6"/>
                <c:pt idx="0">
                  <c:v>Secondary</c:v>
                </c:pt>
                <c:pt idx="1">
                  <c:v>Matric</c:v>
                </c:pt>
                <c:pt idx="2">
                  <c:v>Intermediate</c:v>
                </c:pt>
                <c:pt idx="3">
                  <c:v>Bacheors</c:v>
                </c:pt>
                <c:pt idx="4">
                  <c:v>Masters</c:v>
                </c:pt>
                <c:pt idx="5">
                  <c:v>PHD</c:v>
                </c:pt>
              </c:strCache>
            </c:strRef>
          </c:cat>
          <c:val>
            <c:numRef>
              <c:f>'Online vs Offline Classes '!$C$39:$C$44</c:f>
              <c:numCache>
                <c:formatCode>General</c:formatCode>
                <c:ptCount val="6"/>
                <c:pt idx="0">
                  <c:v>1</c:v>
                </c:pt>
                <c:pt idx="1">
                  <c:v>1</c:v>
                </c:pt>
                <c:pt idx="2">
                  <c:v>0</c:v>
                </c:pt>
                <c:pt idx="3">
                  <c:v>19</c:v>
                </c:pt>
                <c:pt idx="4">
                  <c:v>0</c:v>
                </c:pt>
                <c:pt idx="5">
                  <c:v>0</c:v>
                </c:pt>
              </c:numCache>
            </c:numRef>
          </c:val>
          <c:extLst>
            <c:ext xmlns:c16="http://schemas.microsoft.com/office/drawing/2014/chart" uri="{C3380CC4-5D6E-409C-BE32-E72D297353CC}">
              <c16:uniqueId val="{00000001-D7ED-455C-A7E0-1664E3932B62}"/>
            </c:ext>
          </c:extLst>
        </c:ser>
        <c:dLbls>
          <c:showLegendKey val="0"/>
          <c:showVal val="0"/>
          <c:showCatName val="0"/>
          <c:showSerName val="0"/>
          <c:showPercent val="0"/>
          <c:showBubbleSize val="0"/>
        </c:dLbls>
        <c:gapWidth val="150"/>
        <c:axId val="525122784"/>
        <c:axId val="525119904"/>
      </c:barChart>
      <c:catAx>
        <c:axId val="52512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119904"/>
        <c:crosses val="autoZero"/>
        <c:auto val="1"/>
        <c:lblAlgn val="ctr"/>
        <c:lblOffset val="100"/>
        <c:noMultiLvlLbl val="0"/>
      </c:catAx>
      <c:valAx>
        <c:axId val="52511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122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Age-wise</a:t>
            </a:r>
            <a:r>
              <a:rPr lang="en-US" b="1" baseline="0">
                <a:solidFill>
                  <a:schemeClr val="tx1"/>
                </a:solidFill>
              </a:rPr>
              <a:t> Preference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'Online vs Offline Classes '!$B$46</c:f>
              <c:strCache>
                <c:ptCount val="1"/>
                <c:pt idx="0">
                  <c:v>Online</c:v>
                </c:pt>
              </c:strCache>
            </c:strRef>
          </c:tx>
          <c:spPr>
            <a:solidFill>
              <a:schemeClr val="accent1"/>
            </a:solidFill>
            <a:ln>
              <a:noFill/>
            </a:ln>
            <a:effectLst/>
          </c:spPr>
          <c:invertIfNegative val="0"/>
          <c:cat>
            <c:strRef>
              <c:f>'Online vs Offline Classes '!$A$47:$A$52</c:f>
              <c:strCache>
                <c:ptCount val="6"/>
                <c:pt idx="0">
                  <c:v>Under 13</c:v>
                </c:pt>
                <c:pt idx="1">
                  <c:v>13-18</c:v>
                </c:pt>
                <c:pt idx="2">
                  <c:v>19-25</c:v>
                </c:pt>
                <c:pt idx="3">
                  <c:v>26-35</c:v>
                </c:pt>
                <c:pt idx="4">
                  <c:v>36-50</c:v>
                </c:pt>
                <c:pt idx="5">
                  <c:v>Above 50</c:v>
                </c:pt>
              </c:strCache>
            </c:strRef>
          </c:cat>
          <c:val>
            <c:numRef>
              <c:f>'Online vs Offline Classes '!$B$47:$B$52</c:f>
              <c:numCache>
                <c:formatCode>General</c:formatCode>
                <c:ptCount val="6"/>
                <c:pt idx="0">
                  <c:v>0</c:v>
                </c:pt>
                <c:pt idx="1">
                  <c:v>2</c:v>
                </c:pt>
                <c:pt idx="2">
                  <c:v>2</c:v>
                </c:pt>
                <c:pt idx="3">
                  <c:v>3</c:v>
                </c:pt>
                <c:pt idx="4">
                  <c:v>0</c:v>
                </c:pt>
                <c:pt idx="5">
                  <c:v>0</c:v>
                </c:pt>
              </c:numCache>
            </c:numRef>
          </c:val>
          <c:extLst>
            <c:ext xmlns:c16="http://schemas.microsoft.com/office/drawing/2014/chart" uri="{C3380CC4-5D6E-409C-BE32-E72D297353CC}">
              <c16:uniqueId val="{00000000-4257-4656-AB50-ADCA380D09AE}"/>
            </c:ext>
          </c:extLst>
        </c:ser>
        <c:ser>
          <c:idx val="1"/>
          <c:order val="1"/>
          <c:tx>
            <c:strRef>
              <c:f>'Online vs Offline Classes '!$C$46</c:f>
              <c:strCache>
                <c:ptCount val="1"/>
                <c:pt idx="0">
                  <c:v>Offline</c:v>
                </c:pt>
              </c:strCache>
            </c:strRef>
          </c:tx>
          <c:spPr>
            <a:solidFill>
              <a:schemeClr val="accent2"/>
            </a:solidFill>
            <a:ln>
              <a:noFill/>
            </a:ln>
            <a:effectLst/>
          </c:spPr>
          <c:invertIfNegative val="0"/>
          <c:cat>
            <c:strRef>
              <c:f>'Online vs Offline Classes '!$A$47:$A$52</c:f>
              <c:strCache>
                <c:ptCount val="6"/>
                <c:pt idx="0">
                  <c:v>Under 13</c:v>
                </c:pt>
                <c:pt idx="1">
                  <c:v>13-18</c:v>
                </c:pt>
                <c:pt idx="2">
                  <c:v>19-25</c:v>
                </c:pt>
                <c:pt idx="3">
                  <c:v>26-35</c:v>
                </c:pt>
                <c:pt idx="4">
                  <c:v>36-50</c:v>
                </c:pt>
                <c:pt idx="5">
                  <c:v>Above 50</c:v>
                </c:pt>
              </c:strCache>
            </c:strRef>
          </c:cat>
          <c:val>
            <c:numRef>
              <c:f>'Online vs Offline Classes '!$C$47:$C$52</c:f>
              <c:numCache>
                <c:formatCode>General</c:formatCode>
                <c:ptCount val="6"/>
                <c:pt idx="0">
                  <c:v>0</c:v>
                </c:pt>
                <c:pt idx="1">
                  <c:v>9</c:v>
                </c:pt>
                <c:pt idx="2">
                  <c:v>12</c:v>
                </c:pt>
                <c:pt idx="3">
                  <c:v>0</c:v>
                </c:pt>
                <c:pt idx="4">
                  <c:v>0</c:v>
                </c:pt>
                <c:pt idx="5">
                  <c:v>0</c:v>
                </c:pt>
              </c:numCache>
            </c:numRef>
          </c:val>
          <c:extLst>
            <c:ext xmlns:c16="http://schemas.microsoft.com/office/drawing/2014/chart" uri="{C3380CC4-5D6E-409C-BE32-E72D297353CC}">
              <c16:uniqueId val="{00000001-4257-4656-AB50-ADCA380D09AE}"/>
            </c:ext>
          </c:extLst>
        </c:ser>
        <c:dLbls>
          <c:showLegendKey val="0"/>
          <c:showVal val="0"/>
          <c:showCatName val="0"/>
          <c:showSerName val="0"/>
          <c:showPercent val="0"/>
          <c:showBubbleSize val="0"/>
        </c:dLbls>
        <c:gapWidth val="182"/>
        <c:axId val="461867384"/>
        <c:axId val="525120984"/>
      </c:barChart>
      <c:catAx>
        <c:axId val="461867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120984"/>
        <c:crosses val="autoZero"/>
        <c:auto val="1"/>
        <c:lblAlgn val="ctr"/>
        <c:lblOffset val="100"/>
        <c:noMultiLvlLbl val="0"/>
      </c:catAx>
      <c:valAx>
        <c:axId val="525120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67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53</xdr:row>
      <xdr:rowOff>8504</xdr:rowOff>
    </xdr:from>
    <xdr:to>
      <xdr:col>2</xdr:col>
      <xdr:colOff>8505</xdr:colOff>
      <xdr:row>68</xdr:row>
      <xdr:rowOff>60511</xdr:rowOff>
    </xdr:to>
    <xdr:graphicFrame macro="">
      <xdr:nvGraphicFramePr>
        <xdr:cNvPr id="6" name="Chart 5">
          <a:extLst>
            <a:ext uri="{FF2B5EF4-FFF2-40B4-BE49-F238E27FC236}">
              <a16:creationId xmlns:a16="http://schemas.microsoft.com/office/drawing/2014/main" id="{C235A33C-25D7-6F44-74AC-2A79FA4B4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53</xdr:row>
      <xdr:rowOff>5612</xdr:rowOff>
    </xdr:from>
    <xdr:to>
      <xdr:col>6</xdr:col>
      <xdr:colOff>1223568</xdr:colOff>
      <xdr:row>68</xdr:row>
      <xdr:rowOff>8504</xdr:rowOff>
    </xdr:to>
    <xdr:graphicFrame macro="">
      <xdr:nvGraphicFramePr>
        <xdr:cNvPr id="7" name="Chart 6">
          <a:extLst>
            <a:ext uri="{FF2B5EF4-FFF2-40B4-BE49-F238E27FC236}">
              <a16:creationId xmlns:a16="http://schemas.microsoft.com/office/drawing/2014/main" id="{2B76BA53-C3C9-D804-42EA-3AC7C9204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70</xdr:row>
      <xdr:rowOff>8505</xdr:rowOff>
    </xdr:from>
    <xdr:to>
      <xdr:col>2</xdr:col>
      <xdr:colOff>0</xdr:colOff>
      <xdr:row>84</xdr:row>
      <xdr:rowOff>98764</xdr:rowOff>
    </xdr:to>
    <xdr:graphicFrame macro="">
      <xdr:nvGraphicFramePr>
        <xdr:cNvPr id="2" name="Chart 1">
          <a:extLst>
            <a:ext uri="{FF2B5EF4-FFF2-40B4-BE49-F238E27FC236}">
              <a16:creationId xmlns:a16="http://schemas.microsoft.com/office/drawing/2014/main" id="{3B1B5ADB-5B99-2009-3A3D-93A349779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1315639</xdr:colOff>
      <xdr:row>69</xdr:row>
      <xdr:rowOff>184718</xdr:rowOff>
    </xdr:from>
    <xdr:to>
      <xdr:col>6</xdr:col>
      <xdr:colOff>887014</xdr:colOff>
      <xdr:row>84</xdr:row>
      <xdr:rowOff>121444</xdr:rowOff>
    </xdr:to>
    <xdr:graphicFrame macro="">
      <xdr:nvGraphicFramePr>
        <xdr:cNvPr id="3" name="Chart 2">
          <a:extLst>
            <a:ext uri="{FF2B5EF4-FFF2-40B4-BE49-F238E27FC236}">
              <a16:creationId xmlns:a16="http://schemas.microsoft.com/office/drawing/2014/main" id="{501A5C21-2051-3E7B-8019-C5A5C54AF8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F468A-D194-4EBE-BCD5-46029F2F8C3F}" name="Table3" displayName="Table3" ref="A1:O29" totalsRowShown="0">
  <autoFilter ref="A1:O29" xr:uid="{4CCF468A-D194-4EBE-BCD5-46029F2F8C3F}"/>
  <tableColumns count="15">
    <tableColumn id="1" xr3:uid="{8B25C747-1592-46F7-B1CD-E2698DE09CFC}" name="Timestamp"/>
    <tableColumn id="2" xr3:uid="{A7D6D7D3-1D1B-4E90-9D61-06513E868244}" name="Username"/>
    <tableColumn id="3" xr3:uid="{0D690F59-C385-462D-8FE9-C0E9F811315B}" name="Name"/>
    <tableColumn id="4" xr3:uid="{004D8371-D966-4E35-98E5-715E828D2D3B}" name="Age Group"/>
    <tableColumn id="5" xr3:uid="{9598C4B9-F6F3-48C4-AB36-75E949DA282D}" name="Gender"/>
    <tableColumn id="6" xr3:uid="{7D7A3693-E9A8-48D8-BB2A-896C2BD24CFD}" name="What are you currently studying?  "/>
    <tableColumn id="7" xr3:uid="{BC266C61-11C5-4E85-A424-944B22CF3C83}" name="Which type of classes do you prefer?"/>
    <tableColumn id="8" xr3:uid="{4D8E5844-A2FB-4525-84DA-12E6345D444D}" name="Which type of classes helps you learn more effectively?"/>
    <tableColumn id="9" xr3:uid="{BFF93344-E6A2-4B3C-8EA6-6F1F05C6D50A}" name="Which type of classes contributes more to your personal growth?"/>
    <tableColumn id="10" xr3:uid="{98D6CA8C-5DA3-4A8D-8C7D-C8D7A57B8E4B}" name="In which mode do you interact more with others?"/>
    <tableColumn id="11" xr3:uid="{E2EB24A1-2E25-4A0B-83DA-D4780802D6EF}" name="In which environment do you feel more motivated to study?"/>
    <tableColumn id="12" xr3:uid="{E3EF1F75-5C81-4F3F-9841-B7581B29DC16}" name="Where do you find communication with teachers easier? "/>
    <tableColumn id="13" xr3:uid="{0C6AF0AB-0B9F-4EF3-9DA0-95C1AE355483}" name="Which mode makes learning easier for you?"/>
    <tableColumn id="14" xr3:uid="{2F09E987-EED1-46C4-9F1E-37AA241EB468}" name="How effective do you find your mode of learning?"/>
    <tableColumn id="15" xr3:uid="{F9504551-BABC-4BEB-831A-625DE292011C}" name="Please give a reason for the mode of learning you have chose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012EE6-434C-4939-B22D-0F73BF489143}" name="Table2" displayName="Table2" ref="A32:C36" totalsRowShown="0" tableBorderDxfId="11">
  <autoFilter ref="A32:C36" xr:uid="{8C012EE6-434C-4939-B22D-0F73BF489143}"/>
  <tableColumns count="3">
    <tableColumn id="1" xr3:uid="{942C8CDC-E705-41E6-BFC4-D574AA91A785}" name="Calculation name" dataDxfId="10"/>
    <tableColumn id="2" xr3:uid="{26B7B078-D631-49E7-A8C3-DC6D6777D70C}" name="Description"/>
    <tableColumn id="3" xr3:uid="{4D71FDB3-C0B7-466D-96A7-63927455E4A7}" name="Result" dataDxfId="9"/>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57C3B4-7DCD-49B0-916F-24B4954FBC78}" name="Table4" displayName="Table4" ref="A38:C44" totalsRowShown="0" headerRowDxfId="4" tableBorderDxfId="8">
  <autoFilter ref="A38:C44" xr:uid="{D657C3B4-7DCD-49B0-916F-24B4954FBC78}"/>
  <tableColumns count="3">
    <tableColumn id="1" xr3:uid="{77A0C566-738C-40FC-BC04-2E7CDA9E7A4C}" name="Degree-wise Preference" dataDxfId="7"/>
    <tableColumn id="2" xr3:uid="{31E3CE65-D053-44B9-B944-313B6EBB2C35}" name="Online" dataDxfId="6"/>
    <tableColumn id="3" xr3:uid="{97CD7DF4-5F57-4E8C-A9C2-49D39CE800EE}" name="Offline" dataDxfId="5"/>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855F0A4-A7DA-4CAD-A85D-945C0AF5E4C9}" name="Table5" displayName="Table5" ref="A46:C52" totalsRowShown="0" tableBorderDxfId="3">
  <autoFilter ref="A46:C52" xr:uid="{C855F0A4-A7DA-4CAD-A85D-945C0AF5E4C9}"/>
  <tableColumns count="3">
    <tableColumn id="1" xr3:uid="{B8783CA2-0EBA-4168-B188-5216CE401DC9}" name="Age-wise Preference" dataDxfId="2"/>
    <tableColumn id="2" xr3:uid="{4E2517DB-EF3F-4329-BEC1-BED1F140785C}" name="Online" dataDxfId="1"/>
    <tableColumn id="3" xr3:uid="{82CF1FAF-DD9A-4569-A68C-F09FE83A6512}" name="Offline"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968F8-36C8-4EA9-9E2E-12B8703E893D}">
  <dimension ref="A1:P52"/>
  <sheetViews>
    <sheetView tabSelected="1" topLeftCell="A65" zoomScale="112" zoomScaleNormal="64" workbookViewId="0">
      <selection activeCell="C70" sqref="C70"/>
    </sheetView>
  </sheetViews>
  <sheetFormatPr defaultRowHeight="15" x14ac:dyDescent="0.25"/>
  <cols>
    <col min="1" max="1" width="28.85546875" customWidth="1"/>
    <col min="2" max="2" width="39.85546875" customWidth="1"/>
    <col min="3" max="3" width="19.7109375" customWidth="1"/>
    <col min="4" max="4" width="12.42578125" customWidth="1"/>
    <col min="5" max="5" width="9.7109375" customWidth="1"/>
    <col min="6" max="6" width="33.140625" customWidth="1"/>
    <col min="7" max="7" width="35.42578125" customWidth="1"/>
    <col min="8" max="8" width="52.140625" customWidth="1"/>
    <col min="9" max="9" width="60.28515625" customWidth="1"/>
    <col min="10" max="10" width="46.5703125" customWidth="1"/>
    <col min="11" max="11" width="56.28515625" customWidth="1"/>
    <col min="12" max="12" width="53.42578125" customWidth="1"/>
    <col min="13" max="13" width="41.7109375" customWidth="1"/>
    <col min="14" max="14" width="47" customWidth="1"/>
    <col min="15" max="15" width="255.7109375" bestFit="1" customWidth="1"/>
    <col min="17" max="20" width="9.14062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row>
    <row r="2" spans="1:16" x14ac:dyDescent="0.25">
      <c r="A2" t="s">
        <v>15</v>
      </c>
      <c r="B2" t="s">
        <v>16</v>
      </c>
      <c r="C2" t="s">
        <v>17</v>
      </c>
      <c r="D2" t="s">
        <v>18</v>
      </c>
      <c r="E2" t="s">
        <v>19</v>
      </c>
      <c r="F2" t="s">
        <v>20</v>
      </c>
      <c r="G2" t="s">
        <v>21</v>
      </c>
      <c r="H2" t="s">
        <v>21</v>
      </c>
      <c r="I2" t="s">
        <v>22</v>
      </c>
      <c r="J2" t="s">
        <v>23</v>
      </c>
      <c r="K2" t="s">
        <v>23</v>
      </c>
      <c r="L2" t="s">
        <v>24</v>
      </c>
      <c r="M2" t="s">
        <v>24</v>
      </c>
      <c r="N2">
        <v>7</v>
      </c>
      <c r="O2" t="s">
        <v>25</v>
      </c>
    </row>
    <row r="3" spans="1:16" x14ac:dyDescent="0.25">
      <c r="A3" t="s">
        <v>26</v>
      </c>
      <c r="B3" t="s">
        <v>27</v>
      </c>
      <c r="C3" t="s">
        <v>28</v>
      </c>
      <c r="D3" t="s">
        <v>18</v>
      </c>
      <c r="E3" t="s">
        <v>19</v>
      </c>
      <c r="F3" t="s">
        <v>20</v>
      </c>
      <c r="G3" t="s">
        <v>22</v>
      </c>
      <c r="H3" t="s">
        <v>22</v>
      </c>
      <c r="I3" t="s">
        <v>22</v>
      </c>
      <c r="J3" t="s">
        <v>23</v>
      </c>
      <c r="K3" t="s">
        <v>23</v>
      </c>
      <c r="L3" t="s">
        <v>23</v>
      </c>
      <c r="M3" t="s">
        <v>23</v>
      </c>
      <c r="N3">
        <v>6</v>
      </c>
      <c r="O3" t="s">
        <v>29</v>
      </c>
    </row>
    <row r="4" spans="1:16" x14ac:dyDescent="0.25">
      <c r="A4" t="s">
        <v>30</v>
      </c>
      <c r="B4" t="s">
        <v>31</v>
      </c>
      <c r="C4" t="s">
        <v>32</v>
      </c>
      <c r="D4" t="s">
        <v>18</v>
      </c>
      <c r="E4" t="s">
        <v>19</v>
      </c>
      <c r="F4" t="s">
        <v>20</v>
      </c>
      <c r="G4" t="s">
        <v>21</v>
      </c>
      <c r="H4" t="s">
        <v>21</v>
      </c>
      <c r="I4" t="s">
        <v>21</v>
      </c>
      <c r="J4" t="s">
        <v>23</v>
      </c>
      <c r="K4" t="s">
        <v>23</v>
      </c>
      <c r="L4" t="s">
        <v>23</v>
      </c>
      <c r="M4" t="s">
        <v>24</v>
      </c>
      <c r="N4">
        <v>8</v>
      </c>
      <c r="O4" t="s">
        <v>33</v>
      </c>
    </row>
    <row r="5" spans="1:16" x14ac:dyDescent="0.25">
      <c r="A5" t="s">
        <v>34</v>
      </c>
      <c r="B5" t="s">
        <v>35</v>
      </c>
      <c r="C5" t="s">
        <v>36</v>
      </c>
      <c r="D5" t="s">
        <v>37</v>
      </c>
      <c r="E5" t="s">
        <v>38</v>
      </c>
      <c r="F5" t="s">
        <v>39</v>
      </c>
      <c r="G5" t="s">
        <v>21</v>
      </c>
      <c r="H5" t="s">
        <v>21</v>
      </c>
      <c r="I5" t="s">
        <v>21</v>
      </c>
      <c r="J5" t="s">
        <v>24</v>
      </c>
      <c r="K5" t="s">
        <v>24</v>
      </c>
      <c r="L5" t="s">
        <v>24</v>
      </c>
      <c r="M5" t="s">
        <v>24</v>
      </c>
      <c r="N5">
        <v>10</v>
      </c>
      <c r="O5" t="s">
        <v>40</v>
      </c>
    </row>
    <row r="6" spans="1:16" x14ac:dyDescent="0.25">
      <c r="A6" t="s">
        <v>41</v>
      </c>
      <c r="B6" t="s">
        <v>42</v>
      </c>
      <c r="C6" t="s">
        <v>43</v>
      </c>
      <c r="D6" t="s">
        <v>37</v>
      </c>
      <c r="E6" t="s">
        <v>38</v>
      </c>
      <c r="F6" t="s">
        <v>39</v>
      </c>
      <c r="G6" t="s">
        <v>21</v>
      </c>
      <c r="H6" t="s">
        <v>21</v>
      </c>
      <c r="I6" t="s">
        <v>21</v>
      </c>
      <c r="J6" t="s">
        <v>23</v>
      </c>
      <c r="K6" t="s">
        <v>24</v>
      </c>
      <c r="L6" t="s">
        <v>23</v>
      </c>
      <c r="M6" t="s">
        <v>24</v>
      </c>
      <c r="N6">
        <v>10</v>
      </c>
      <c r="O6" t="s">
        <v>44</v>
      </c>
    </row>
    <row r="7" spans="1:16" ht="30" x14ac:dyDescent="0.25">
      <c r="A7" t="s">
        <v>45</v>
      </c>
      <c r="B7" t="s">
        <v>46</v>
      </c>
      <c r="C7" t="s">
        <v>47</v>
      </c>
      <c r="D7" t="s">
        <v>18</v>
      </c>
      <c r="E7" t="s">
        <v>19</v>
      </c>
      <c r="F7" t="s">
        <v>20</v>
      </c>
      <c r="G7" t="s">
        <v>22</v>
      </c>
      <c r="H7" t="s">
        <v>22</v>
      </c>
      <c r="I7" t="s">
        <v>22</v>
      </c>
      <c r="J7" t="s">
        <v>23</v>
      </c>
      <c r="K7" t="s">
        <v>23</v>
      </c>
      <c r="L7" t="s">
        <v>23</v>
      </c>
      <c r="M7" t="s">
        <v>23</v>
      </c>
      <c r="N7">
        <v>8</v>
      </c>
      <c r="O7" s="1" t="s">
        <v>48</v>
      </c>
    </row>
    <row r="8" spans="1:16" x14ac:dyDescent="0.25">
      <c r="A8" t="s">
        <v>49</v>
      </c>
      <c r="B8" t="s">
        <v>50</v>
      </c>
      <c r="C8" t="s">
        <v>51</v>
      </c>
      <c r="D8" t="s">
        <v>18</v>
      </c>
      <c r="E8" t="s">
        <v>19</v>
      </c>
      <c r="F8" t="s">
        <v>20</v>
      </c>
      <c r="G8" t="s">
        <v>22</v>
      </c>
      <c r="H8" t="s">
        <v>22</v>
      </c>
      <c r="I8" t="s">
        <v>22</v>
      </c>
      <c r="J8" t="s">
        <v>23</v>
      </c>
      <c r="K8" t="s">
        <v>23</v>
      </c>
      <c r="L8" t="s">
        <v>23</v>
      </c>
      <c r="M8" t="s">
        <v>23</v>
      </c>
      <c r="N8">
        <v>10</v>
      </c>
      <c r="O8" t="s">
        <v>52</v>
      </c>
    </row>
    <row r="9" spans="1:16" x14ac:dyDescent="0.25">
      <c r="A9" t="s">
        <v>53</v>
      </c>
      <c r="B9" t="s">
        <v>54</v>
      </c>
      <c r="C9" t="s">
        <v>55</v>
      </c>
      <c r="D9" t="s">
        <v>56</v>
      </c>
      <c r="E9" t="s">
        <v>19</v>
      </c>
      <c r="F9" t="s">
        <v>20</v>
      </c>
      <c r="G9" t="s">
        <v>21</v>
      </c>
      <c r="H9" t="s">
        <v>22</v>
      </c>
      <c r="I9" t="s">
        <v>22</v>
      </c>
      <c r="J9" t="s">
        <v>23</v>
      </c>
      <c r="K9" t="s">
        <v>23</v>
      </c>
      <c r="L9" t="s">
        <v>23</v>
      </c>
      <c r="M9" t="s">
        <v>23</v>
      </c>
      <c r="N9">
        <v>6</v>
      </c>
      <c r="O9" t="s">
        <v>138</v>
      </c>
      <c r="P9" s="1"/>
    </row>
    <row r="10" spans="1:16" ht="30" x14ac:dyDescent="0.25">
      <c r="A10" t="s">
        <v>57</v>
      </c>
      <c r="B10" t="s">
        <v>58</v>
      </c>
      <c r="C10" t="s">
        <v>59</v>
      </c>
      <c r="D10" t="s">
        <v>18</v>
      </c>
      <c r="E10" t="s">
        <v>38</v>
      </c>
      <c r="F10" t="s">
        <v>60</v>
      </c>
      <c r="G10" t="s">
        <v>22</v>
      </c>
      <c r="H10" t="s">
        <v>22</v>
      </c>
      <c r="I10" t="s">
        <v>22</v>
      </c>
      <c r="J10" t="s">
        <v>24</v>
      </c>
      <c r="K10" t="s">
        <v>23</v>
      </c>
      <c r="L10" t="s">
        <v>23</v>
      </c>
      <c r="M10" t="s">
        <v>23</v>
      </c>
      <c r="N10">
        <v>10</v>
      </c>
      <c r="O10" s="1" t="s">
        <v>61</v>
      </c>
    </row>
    <row r="11" spans="1:16" x14ac:dyDescent="0.25">
      <c r="A11" t="s">
        <v>62</v>
      </c>
      <c r="B11" t="s">
        <v>63</v>
      </c>
      <c r="C11" t="s">
        <v>64</v>
      </c>
      <c r="D11" t="s">
        <v>56</v>
      </c>
      <c r="E11" t="s">
        <v>19</v>
      </c>
      <c r="F11" t="s">
        <v>20</v>
      </c>
      <c r="G11" t="s">
        <v>21</v>
      </c>
      <c r="H11" t="s">
        <v>21</v>
      </c>
      <c r="I11" t="s">
        <v>21</v>
      </c>
      <c r="J11" t="s">
        <v>24</v>
      </c>
      <c r="K11" t="s">
        <v>24</v>
      </c>
      <c r="L11" t="s">
        <v>24</v>
      </c>
      <c r="M11" t="s">
        <v>24</v>
      </c>
      <c r="N11">
        <v>7</v>
      </c>
      <c r="O11" t="s">
        <v>65</v>
      </c>
    </row>
    <row r="12" spans="1:16" x14ac:dyDescent="0.25">
      <c r="A12" t="s">
        <v>66</v>
      </c>
      <c r="B12" t="s">
        <v>67</v>
      </c>
      <c r="C12" t="s">
        <v>68</v>
      </c>
      <c r="D12" t="s">
        <v>18</v>
      </c>
      <c r="E12" t="s">
        <v>38</v>
      </c>
      <c r="F12" t="s">
        <v>20</v>
      </c>
      <c r="G12" t="s">
        <v>22</v>
      </c>
      <c r="H12" t="s">
        <v>22</v>
      </c>
      <c r="I12" t="s">
        <v>22</v>
      </c>
      <c r="J12" t="s">
        <v>23</v>
      </c>
      <c r="K12" t="s">
        <v>24</v>
      </c>
      <c r="L12" t="s">
        <v>23</v>
      </c>
      <c r="M12" t="s">
        <v>23</v>
      </c>
      <c r="N12">
        <v>5</v>
      </c>
      <c r="O12" t="s">
        <v>23</v>
      </c>
    </row>
    <row r="13" spans="1:16" x14ac:dyDescent="0.25">
      <c r="A13" t="s">
        <v>69</v>
      </c>
      <c r="B13" t="s">
        <v>70</v>
      </c>
      <c r="C13" t="s">
        <v>71</v>
      </c>
      <c r="D13" t="s">
        <v>18</v>
      </c>
      <c r="E13" t="s">
        <v>19</v>
      </c>
      <c r="F13" t="s">
        <v>20</v>
      </c>
      <c r="G13" t="s">
        <v>22</v>
      </c>
      <c r="H13" t="s">
        <v>22</v>
      </c>
      <c r="I13" t="s">
        <v>22</v>
      </c>
      <c r="J13" t="s">
        <v>23</v>
      </c>
      <c r="K13" t="s">
        <v>23</v>
      </c>
      <c r="L13" t="s">
        <v>23</v>
      </c>
      <c r="M13" t="s">
        <v>23</v>
      </c>
      <c r="N13">
        <v>7</v>
      </c>
      <c r="O13" t="s">
        <v>72</v>
      </c>
    </row>
    <row r="14" spans="1:16" x14ac:dyDescent="0.25">
      <c r="A14" t="s">
        <v>73</v>
      </c>
      <c r="B14" t="s">
        <v>74</v>
      </c>
      <c r="C14" t="s">
        <v>75</v>
      </c>
      <c r="D14" t="s">
        <v>56</v>
      </c>
      <c r="E14" t="s">
        <v>19</v>
      </c>
      <c r="F14" t="s">
        <v>20</v>
      </c>
      <c r="G14" t="s">
        <v>22</v>
      </c>
      <c r="H14" t="s">
        <v>22</v>
      </c>
      <c r="I14" t="s">
        <v>22</v>
      </c>
      <c r="J14" t="s">
        <v>23</v>
      </c>
      <c r="K14" t="s">
        <v>23</v>
      </c>
      <c r="L14" t="s">
        <v>23</v>
      </c>
      <c r="M14" t="s">
        <v>24</v>
      </c>
      <c r="N14">
        <v>7</v>
      </c>
      <c r="O14" t="s">
        <v>76</v>
      </c>
    </row>
    <row r="15" spans="1:16" x14ac:dyDescent="0.25">
      <c r="A15" t="s">
        <v>77</v>
      </c>
      <c r="B15" t="s">
        <v>78</v>
      </c>
      <c r="C15" t="s">
        <v>79</v>
      </c>
      <c r="D15" t="s">
        <v>18</v>
      </c>
      <c r="E15" t="s">
        <v>19</v>
      </c>
      <c r="F15" t="s">
        <v>80</v>
      </c>
      <c r="G15" t="s">
        <v>22</v>
      </c>
      <c r="H15" t="s">
        <v>22</v>
      </c>
      <c r="I15" t="s">
        <v>22</v>
      </c>
      <c r="J15" t="s">
        <v>23</v>
      </c>
      <c r="K15" t="s">
        <v>23</v>
      </c>
      <c r="L15" t="s">
        <v>23</v>
      </c>
      <c r="M15" t="s">
        <v>23</v>
      </c>
      <c r="N15">
        <v>10</v>
      </c>
      <c r="O15" t="s">
        <v>81</v>
      </c>
    </row>
    <row r="16" spans="1:16" x14ac:dyDescent="0.25">
      <c r="A16" t="s">
        <v>82</v>
      </c>
      <c r="B16" t="s">
        <v>83</v>
      </c>
      <c r="C16" t="s">
        <v>84</v>
      </c>
      <c r="D16" t="s">
        <v>56</v>
      </c>
      <c r="E16" t="s">
        <v>19</v>
      </c>
      <c r="F16" t="s">
        <v>20</v>
      </c>
      <c r="G16" t="s">
        <v>22</v>
      </c>
      <c r="H16" t="s">
        <v>21</v>
      </c>
      <c r="I16" t="s">
        <v>22</v>
      </c>
      <c r="J16" t="s">
        <v>23</v>
      </c>
      <c r="K16" t="s">
        <v>23</v>
      </c>
      <c r="L16" t="s">
        <v>23</v>
      </c>
      <c r="M16" t="s">
        <v>23</v>
      </c>
      <c r="N16">
        <v>7</v>
      </c>
      <c r="O16" t="s">
        <v>85</v>
      </c>
    </row>
    <row r="17" spans="1:15" x14ac:dyDescent="0.25">
      <c r="A17" t="s">
        <v>86</v>
      </c>
      <c r="B17" t="s">
        <v>87</v>
      </c>
      <c r="C17" t="s">
        <v>88</v>
      </c>
      <c r="D17" t="s">
        <v>18</v>
      </c>
      <c r="E17" t="s">
        <v>19</v>
      </c>
      <c r="F17" t="s">
        <v>20</v>
      </c>
      <c r="G17" t="s">
        <v>22</v>
      </c>
      <c r="H17" t="s">
        <v>22</v>
      </c>
      <c r="I17" t="s">
        <v>22</v>
      </c>
      <c r="J17" t="s">
        <v>24</v>
      </c>
      <c r="K17" t="s">
        <v>23</v>
      </c>
      <c r="L17" t="s">
        <v>23</v>
      </c>
      <c r="M17" t="s">
        <v>23</v>
      </c>
      <c r="N17">
        <v>6</v>
      </c>
      <c r="O17" t="s">
        <v>89</v>
      </c>
    </row>
    <row r="18" spans="1:15" ht="30" x14ac:dyDescent="0.25">
      <c r="A18" t="s">
        <v>90</v>
      </c>
      <c r="B18" t="s">
        <v>91</v>
      </c>
      <c r="C18" t="s">
        <v>92</v>
      </c>
      <c r="D18" t="s">
        <v>56</v>
      </c>
      <c r="E18" t="s">
        <v>19</v>
      </c>
      <c r="F18" t="s">
        <v>20</v>
      </c>
      <c r="G18" t="s">
        <v>22</v>
      </c>
      <c r="H18" t="s">
        <v>22</v>
      </c>
      <c r="I18" t="s">
        <v>22</v>
      </c>
      <c r="J18" t="s">
        <v>23</v>
      </c>
      <c r="K18" t="s">
        <v>23</v>
      </c>
      <c r="L18" t="s">
        <v>23</v>
      </c>
      <c r="M18" t="s">
        <v>23</v>
      </c>
      <c r="N18">
        <v>8</v>
      </c>
      <c r="O18" s="1" t="s">
        <v>93</v>
      </c>
    </row>
    <row r="19" spans="1:15" x14ac:dyDescent="0.25">
      <c r="A19" t="s">
        <v>94</v>
      </c>
      <c r="B19" t="s">
        <v>95</v>
      </c>
      <c r="C19" t="s">
        <v>96</v>
      </c>
      <c r="D19" t="s">
        <v>18</v>
      </c>
      <c r="E19" t="s">
        <v>19</v>
      </c>
      <c r="F19" t="s">
        <v>20</v>
      </c>
      <c r="G19" t="s">
        <v>22</v>
      </c>
      <c r="H19" t="s">
        <v>22</v>
      </c>
      <c r="I19" t="s">
        <v>22</v>
      </c>
      <c r="J19" t="s">
        <v>23</v>
      </c>
      <c r="K19" t="s">
        <v>23</v>
      </c>
      <c r="L19" t="s">
        <v>23</v>
      </c>
      <c r="M19" t="s">
        <v>23</v>
      </c>
      <c r="N19">
        <v>7</v>
      </c>
      <c r="O19" t="s">
        <v>97</v>
      </c>
    </row>
    <row r="20" spans="1:15" x14ac:dyDescent="0.25">
      <c r="A20" t="s">
        <v>98</v>
      </c>
      <c r="B20" t="s">
        <v>99</v>
      </c>
      <c r="C20" t="s">
        <v>100</v>
      </c>
      <c r="D20" t="s">
        <v>18</v>
      </c>
      <c r="E20" t="s">
        <v>19</v>
      </c>
      <c r="F20" t="s">
        <v>20</v>
      </c>
      <c r="G20" t="s">
        <v>22</v>
      </c>
      <c r="H20" t="s">
        <v>22</v>
      </c>
      <c r="I20" t="s">
        <v>22</v>
      </c>
      <c r="J20" t="s">
        <v>23</v>
      </c>
      <c r="K20" t="s">
        <v>23</v>
      </c>
      <c r="L20" t="s">
        <v>23</v>
      </c>
      <c r="M20" t="s">
        <v>23</v>
      </c>
      <c r="N20">
        <v>7</v>
      </c>
      <c r="O20" t="s">
        <v>101</v>
      </c>
    </row>
    <row r="21" spans="1:15" x14ac:dyDescent="0.25">
      <c r="A21" t="s">
        <v>102</v>
      </c>
      <c r="B21" t="s">
        <v>103</v>
      </c>
      <c r="C21" t="s">
        <v>104</v>
      </c>
      <c r="D21" t="s">
        <v>56</v>
      </c>
      <c r="E21" t="s">
        <v>19</v>
      </c>
      <c r="F21" t="s">
        <v>20</v>
      </c>
      <c r="G21" t="s">
        <v>22</v>
      </c>
      <c r="H21" t="s">
        <v>22</v>
      </c>
      <c r="I21" t="s">
        <v>22</v>
      </c>
      <c r="J21" t="s">
        <v>23</v>
      </c>
      <c r="K21" t="s">
        <v>23</v>
      </c>
      <c r="L21" t="s">
        <v>23</v>
      </c>
      <c r="M21" t="s">
        <v>23</v>
      </c>
      <c r="N21">
        <v>10</v>
      </c>
      <c r="O21" t="s">
        <v>105</v>
      </c>
    </row>
    <row r="22" spans="1:15" x14ac:dyDescent="0.25">
      <c r="A22" t="s">
        <v>106</v>
      </c>
      <c r="B22" t="s">
        <v>107</v>
      </c>
      <c r="C22" t="s">
        <v>108</v>
      </c>
      <c r="D22" t="s">
        <v>56</v>
      </c>
      <c r="E22" t="s">
        <v>19</v>
      </c>
      <c r="F22" t="s">
        <v>20</v>
      </c>
      <c r="G22" t="s">
        <v>22</v>
      </c>
      <c r="H22" t="s">
        <v>22</v>
      </c>
      <c r="I22" t="s">
        <v>22</v>
      </c>
      <c r="J22" t="s">
        <v>23</v>
      </c>
      <c r="K22" t="s">
        <v>23</v>
      </c>
      <c r="L22" t="s">
        <v>23</v>
      </c>
      <c r="M22" t="s">
        <v>23</v>
      </c>
      <c r="N22">
        <v>6</v>
      </c>
      <c r="O22" t="s">
        <v>109</v>
      </c>
    </row>
    <row r="23" spans="1:15" x14ac:dyDescent="0.25">
      <c r="A23" t="s">
        <v>110</v>
      </c>
      <c r="B23" t="s">
        <v>111</v>
      </c>
      <c r="C23" t="s">
        <v>112</v>
      </c>
      <c r="D23" t="s">
        <v>56</v>
      </c>
      <c r="E23" t="s">
        <v>19</v>
      </c>
      <c r="F23" t="s">
        <v>20</v>
      </c>
      <c r="G23" t="s">
        <v>22</v>
      </c>
      <c r="H23" t="s">
        <v>22</v>
      </c>
      <c r="I23" t="s">
        <v>22</v>
      </c>
      <c r="J23" t="s">
        <v>24</v>
      </c>
      <c r="K23" t="s">
        <v>23</v>
      </c>
      <c r="L23" t="s">
        <v>23</v>
      </c>
      <c r="M23" t="s">
        <v>23</v>
      </c>
      <c r="N23">
        <v>1</v>
      </c>
      <c r="O23" t="s">
        <v>113</v>
      </c>
    </row>
    <row r="24" spans="1:15" x14ac:dyDescent="0.25">
      <c r="A24" t="s">
        <v>114</v>
      </c>
      <c r="B24" t="s">
        <v>115</v>
      </c>
      <c r="C24" t="s">
        <v>116</v>
      </c>
      <c r="D24" t="s">
        <v>56</v>
      </c>
      <c r="E24" t="s">
        <v>19</v>
      </c>
      <c r="F24" t="s">
        <v>20</v>
      </c>
      <c r="G24" t="s">
        <v>22</v>
      </c>
      <c r="H24" t="s">
        <v>22</v>
      </c>
      <c r="I24" t="s">
        <v>22</v>
      </c>
      <c r="J24" t="s">
        <v>23</v>
      </c>
      <c r="K24" t="s">
        <v>23</v>
      </c>
      <c r="L24" t="s">
        <v>23</v>
      </c>
      <c r="M24" t="s">
        <v>23</v>
      </c>
      <c r="N24">
        <v>10</v>
      </c>
      <c r="O24" t="s">
        <v>117</v>
      </c>
    </row>
    <row r="25" spans="1:15" x14ac:dyDescent="0.25">
      <c r="A25" t="s">
        <v>118</v>
      </c>
      <c r="B25" t="s">
        <v>119</v>
      </c>
      <c r="C25" t="s">
        <v>120</v>
      </c>
      <c r="D25" t="s">
        <v>18</v>
      </c>
      <c r="E25" t="s">
        <v>19</v>
      </c>
      <c r="F25" t="s">
        <v>20</v>
      </c>
      <c r="G25" t="s">
        <v>22</v>
      </c>
      <c r="H25" t="s">
        <v>22</v>
      </c>
      <c r="I25" t="s">
        <v>22</v>
      </c>
      <c r="J25" t="s">
        <v>23</v>
      </c>
      <c r="K25" t="s">
        <v>23</v>
      </c>
      <c r="L25" t="s">
        <v>23</v>
      </c>
      <c r="M25" t="s">
        <v>23</v>
      </c>
      <c r="N25">
        <v>7</v>
      </c>
      <c r="O25" t="s">
        <v>121</v>
      </c>
    </row>
    <row r="26" spans="1:15" x14ac:dyDescent="0.25">
      <c r="A26" t="s">
        <v>122</v>
      </c>
      <c r="B26" t="s">
        <v>123</v>
      </c>
      <c r="C26" t="s">
        <v>124</v>
      </c>
      <c r="D26" t="s">
        <v>18</v>
      </c>
      <c r="E26" t="s">
        <v>19</v>
      </c>
      <c r="F26" t="s">
        <v>20</v>
      </c>
      <c r="G26" t="s">
        <v>22</v>
      </c>
      <c r="H26" t="s">
        <v>22</v>
      </c>
      <c r="I26" t="s">
        <v>22</v>
      </c>
      <c r="J26" t="s">
        <v>23</v>
      </c>
      <c r="K26" t="s">
        <v>23</v>
      </c>
      <c r="L26" t="s">
        <v>23</v>
      </c>
      <c r="M26" t="s">
        <v>23</v>
      </c>
      <c r="N26">
        <v>7</v>
      </c>
      <c r="O26" t="s">
        <v>125</v>
      </c>
    </row>
    <row r="27" spans="1:15" x14ac:dyDescent="0.25">
      <c r="A27" t="s">
        <v>126</v>
      </c>
      <c r="B27" t="s">
        <v>127</v>
      </c>
      <c r="C27" t="s">
        <v>128</v>
      </c>
      <c r="D27" t="s">
        <v>56</v>
      </c>
      <c r="E27" t="s">
        <v>19</v>
      </c>
      <c r="F27" t="s">
        <v>20</v>
      </c>
      <c r="G27" t="s">
        <v>22</v>
      </c>
      <c r="H27" t="s">
        <v>22</v>
      </c>
      <c r="I27" t="s">
        <v>22</v>
      </c>
      <c r="J27" t="s">
        <v>23</v>
      </c>
      <c r="K27" t="s">
        <v>23</v>
      </c>
      <c r="L27" t="s">
        <v>23</v>
      </c>
      <c r="M27" t="s">
        <v>23</v>
      </c>
      <c r="N27">
        <v>9</v>
      </c>
      <c r="O27" t="s">
        <v>129</v>
      </c>
    </row>
    <row r="28" spans="1:15" ht="30" x14ac:dyDescent="0.25">
      <c r="A28" t="s">
        <v>130</v>
      </c>
      <c r="B28" t="s">
        <v>131</v>
      </c>
      <c r="C28" t="s">
        <v>132</v>
      </c>
      <c r="D28" t="s">
        <v>56</v>
      </c>
      <c r="E28" t="s">
        <v>19</v>
      </c>
      <c r="F28" t="s">
        <v>20</v>
      </c>
      <c r="G28" t="s">
        <v>22</v>
      </c>
      <c r="H28" t="s">
        <v>22</v>
      </c>
      <c r="I28" t="s">
        <v>22</v>
      </c>
      <c r="J28" t="s">
        <v>23</v>
      </c>
      <c r="K28" t="s">
        <v>23</v>
      </c>
      <c r="L28" t="s">
        <v>23</v>
      </c>
      <c r="M28" t="s">
        <v>23</v>
      </c>
      <c r="N28">
        <v>10</v>
      </c>
      <c r="O28" s="1" t="s">
        <v>133</v>
      </c>
    </row>
    <row r="29" spans="1:15" x14ac:dyDescent="0.25">
      <c r="A29" t="s">
        <v>134</v>
      </c>
      <c r="B29" t="s">
        <v>135</v>
      </c>
      <c r="C29" t="s">
        <v>136</v>
      </c>
      <c r="D29" t="s">
        <v>37</v>
      </c>
      <c r="E29" t="s">
        <v>19</v>
      </c>
      <c r="F29" t="s">
        <v>39</v>
      </c>
      <c r="G29" t="s">
        <v>21</v>
      </c>
      <c r="H29" t="s">
        <v>22</v>
      </c>
      <c r="I29" t="s">
        <v>22</v>
      </c>
      <c r="J29" t="s">
        <v>23</v>
      </c>
      <c r="K29" t="s">
        <v>23</v>
      </c>
      <c r="L29" t="s">
        <v>23</v>
      </c>
      <c r="M29" t="s">
        <v>24</v>
      </c>
      <c r="N29">
        <v>8</v>
      </c>
      <c r="O29" t="s">
        <v>137</v>
      </c>
    </row>
    <row r="31" spans="1:15" s="2" customFormat="1" ht="21" customHeight="1" x14ac:dyDescent="0.2"/>
    <row r="32" spans="1:15" x14ac:dyDescent="0.25">
      <c r="A32" t="s">
        <v>153</v>
      </c>
      <c r="B32" t="s">
        <v>139</v>
      </c>
      <c r="C32" t="s">
        <v>140</v>
      </c>
    </row>
    <row r="33" spans="1:3" x14ac:dyDescent="0.25">
      <c r="A33" s="3" t="s">
        <v>141</v>
      </c>
      <c r="B33" s="3" t="s">
        <v>145</v>
      </c>
      <c r="C33" s="5">
        <f>COUNTA(B2:B29)</f>
        <v>28</v>
      </c>
    </row>
    <row r="34" spans="1:3" x14ac:dyDescent="0.25">
      <c r="A34" s="3" t="s">
        <v>142</v>
      </c>
      <c r="B34" s="3" t="s">
        <v>146</v>
      </c>
      <c r="C34" s="5">
        <f>COUNTIF(H2:H29,"Online classes")</f>
        <v>6</v>
      </c>
    </row>
    <row r="35" spans="1:3" ht="15.75" customHeight="1" x14ac:dyDescent="0.25">
      <c r="A35" s="3" t="s">
        <v>143</v>
      </c>
      <c r="B35" s="6" t="s">
        <v>147</v>
      </c>
      <c r="C35" s="5">
        <f>COUNTIF(H2:H29,"Offline classes")</f>
        <v>22</v>
      </c>
    </row>
    <row r="36" spans="1:3" ht="30" x14ac:dyDescent="0.25">
      <c r="A36" s="3" t="s">
        <v>144</v>
      </c>
      <c r="B36" s="6" t="s">
        <v>148</v>
      </c>
      <c r="C36" s="5">
        <f>AVERAGE(N2:N29)</f>
        <v>7.6428571428571432</v>
      </c>
    </row>
    <row r="38" spans="1:3" x14ac:dyDescent="0.25">
      <c r="A38" s="8" t="s">
        <v>149</v>
      </c>
      <c r="B38" s="9" t="s">
        <v>24</v>
      </c>
      <c r="C38" s="9" t="s">
        <v>23</v>
      </c>
    </row>
    <row r="39" spans="1:3" x14ac:dyDescent="0.25">
      <c r="A39" s="12" t="s">
        <v>80</v>
      </c>
      <c r="B39" s="10">
        <f>COUNTIFS($F:$F, "Secondary", $G:$G, "Online classes")</f>
        <v>0</v>
      </c>
      <c r="C39" s="10">
        <f>COUNTIFS($F:$F, "Secondary", $G:$G, "Offline classes")</f>
        <v>1</v>
      </c>
    </row>
    <row r="40" spans="1:3" x14ac:dyDescent="0.25">
      <c r="A40" s="4" t="s">
        <v>60</v>
      </c>
      <c r="B40" s="3">
        <f>COUNTIFS($F:$F, "Matric", $G:$G, "Online classes")</f>
        <v>0</v>
      </c>
      <c r="C40" s="3">
        <f>COUNTIFS($F:$F, "Matric", $G:$G, "Offline classes")</f>
        <v>1</v>
      </c>
    </row>
    <row r="41" spans="1:3" x14ac:dyDescent="0.25">
      <c r="A41" s="12" t="s">
        <v>150</v>
      </c>
      <c r="B41" s="10">
        <f>COUNTIFS($F:$F,"Intermediate",$G:$G,"Online")</f>
        <v>0</v>
      </c>
      <c r="C41" s="10">
        <f>COUNTIFS($F:$F,"Intermediate",$G:$G,"Offline")</f>
        <v>0</v>
      </c>
    </row>
    <row r="42" spans="1:3" x14ac:dyDescent="0.25">
      <c r="A42" s="4" t="s">
        <v>151</v>
      </c>
      <c r="B42" s="3">
        <f>COUNTIFS($F:$F, "Bachelors", $G:$G, "Online classes")</f>
        <v>4</v>
      </c>
      <c r="C42" s="3">
        <f>COUNTIFS($F:$F, "Bachelors", $G:$G, "Offline classes")</f>
        <v>19</v>
      </c>
    </row>
    <row r="43" spans="1:3" x14ac:dyDescent="0.25">
      <c r="A43" s="12" t="s">
        <v>39</v>
      </c>
      <c r="B43" s="10">
        <f>COUNTIFS($F:$F, "Masters", $G:$G, "Online classes")</f>
        <v>3</v>
      </c>
      <c r="C43" s="10">
        <f>COUNTIFS($F:$F, "Masters", $G:$G, "Offline classes")</f>
        <v>0</v>
      </c>
    </row>
    <row r="44" spans="1:3" x14ac:dyDescent="0.25">
      <c r="A44" s="4" t="s">
        <v>152</v>
      </c>
      <c r="B44" s="3">
        <f>COUNTIFS($F:$F, "PHD", $G:$G, "Online classes")</f>
        <v>0</v>
      </c>
      <c r="C44" s="3">
        <f>COUNTIFS($F:$F, "PHD", $G:$G, "Offline classes")</f>
        <v>0</v>
      </c>
    </row>
    <row r="46" spans="1:3" x14ac:dyDescent="0.25">
      <c r="A46" t="s">
        <v>154</v>
      </c>
      <c r="B46" t="s">
        <v>24</v>
      </c>
      <c r="C46" t="s">
        <v>23</v>
      </c>
    </row>
    <row r="47" spans="1:3" x14ac:dyDescent="0.25">
      <c r="A47" s="10" t="s">
        <v>155</v>
      </c>
      <c r="B47" s="10">
        <f>COUNTIFS($D:$D,"Under 13",$G:$G,"Online classes")</f>
        <v>0</v>
      </c>
      <c r="C47" s="11">
        <f>COUNTIFS($D:$D,"Under 13",$G:$G,"Offline classes")</f>
        <v>0</v>
      </c>
    </row>
    <row r="48" spans="1:3" x14ac:dyDescent="0.25">
      <c r="A48" s="3" t="s">
        <v>56</v>
      </c>
      <c r="B48" s="3">
        <f>COUNTIFS($D:$D,"13-18",$G:$G,"Online classes")</f>
        <v>2</v>
      </c>
      <c r="C48" s="7">
        <f>COUNTIFS($D:$D,"13-18",$G:$G,"Offline classes")</f>
        <v>9</v>
      </c>
    </row>
    <row r="49" spans="1:3" x14ac:dyDescent="0.25">
      <c r="A49" s="10" t="s">
        <v>18</v>
      </c>
      <c r="B49" s="10">
        <f>COUNTIFS($D:$D,"19-25",$G:$G,"Online classes")</f>
        <v>2</v>
      </c>
      <c r="C49" s="11">
        <f>COUNTIFS($D:$D,"19-25",$G:$G,"Offline classes")</f>
        <v>12</v>
      </c>
    </row>
    <row r="50" spans="1:3" x14ac:dyDescent="0.25">
      <c r="A50" s="3" t="s">
        <v>37</v>
      </c>
      <c r="B50" s="3">
        <f>COUNTIFS($D:$D,"26-35",$G:$G,"Online classes")</f>
        <v>3</v>
      </c>
      <c r="C50" s="7">
        <f>COUNTIFS($D:$D,"26-35",$G:$G,"Offline classes")</f>
        <v>0</v>
      </c>
    </row>
    <row r="51" spans="1:3" x14ac:dyDescent="0.25">
      <c r="A51" s="10" t="s">
        <v>156</v>
      </c>
      <c r="B51" s="10">
        <f>COUNTIFS($D:$D,"36-50",$G:$G,"Online classes")</f>
        <v>0</v>
      </c>
      <c r="C51" s="11">
        <f>COUNTIFS($D:$D,"36-50",$G:$G,"Offline classes")</f>
        <v>0</v>
      </c>
    </row>
    <row r="52" spans="1:3" x14ac:dyDescent="0.25">
      <c r="A52" s="3" t="s">
        <v>157</v>
      </c>
      <c r="B52" s="3">
        <f>COUNTIFS($D:$D,"Above 50",$G:$G,"Online classes")</f>
        <v>0</v>
      </c>
      <c r="C52" s="7">
        <f>COUNTIFS($D:$D,"Above 50",$G:$G,"Offline classes")</f>
        <v>0</v>
      </c>
    </row>
  </sheetData>
  <pageMargins left="0.7" right="0.7" top="0.75" bottom="0.75" header="0.3" footer="0.3"/>
  <pageSetup orientation="portrait" r:id="rId1"/>
  <drawing r:id="rId2"/>
  <tableParts count="4">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Online vs Offline Classes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meerab zahid</cp:lastModifiedBy>
  <dcterms:created xsi:type="dcterms:W3CDTF">2025-11-07T09:49:47Z</dcterms:created>
  <dcterms:modified xsi:type="dcterms:W3CDTF">2025-11-15T14:27:32Z</dcterms:modified>
</cp:coreProperties>
</file>